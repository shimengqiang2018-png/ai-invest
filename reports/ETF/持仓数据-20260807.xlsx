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持仓明细" sheetId="1" state="visible" r:id="rId1"/>
    <sheet name="汇总统计" sheetId="2" state="visible" r:id="rId2"/>
    <sheet name="图片处理记录" sheetId="3" state="visible" r:id="rId3"/>
  </sheets>
  <definedNames>
    <definedName name="_xlnm._FilterDatabase" localSheetId="0" hidden="1">'持仓明细'!$A$1:$H$9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color rgb="00006100"/>
    </font>
    <font>
      <color rgb="00CC0000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4" fontId="1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20" customWidth="1" min="8" max="8"/>
  </cols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持仓市值</t>
        </is>
      </c>
      <c r="D1" s="1" t="inlineStr">
        <is>
          <t>累计收益</t>
        </is>
      </c>
      <c r="E1" s="1" t="inlineStr">
        <is>
          <t>持仓收益率</t>
        </is>
      </c>
      <c r="F1" s="1" t="inlineStr">
        <is>
          <t>昨日收益</t>
        </is>
      </c>
      <c r="G1" s="1" t="inlineStr">
        <is>
          <t>来源图片</t>
        </is>
      </c>
      <c r="H1" s="1" t="inlineStr">
        <is>
          <t>备注</t>
        </is>
      </c>
    </row>
    <row r="2">
      <c r="A2" s="2" t="inlineStr">
        <is>
          <t>016452</t>
        </is>
      </c>
      <c r="B2" s="2" t="inlineStr">
        <is>
          <t>南方纳斯达克100指数发起(QDII)A</t>
        </is>
      </c>
      <c r="C2" s="3" t="n">
        <v>3691.08</v>
      </c>
      <c r="D2" s="4" t="n">
        <v>566.4</v>
      </c>
      <c r="E2" s="5" t="n">
        <v>0.1813</v>
      </c>
      <c r="F2" s="6" t="n">
        <v>-31.24</v>
      </c>
      <c r="G2" s="7" t="inlineStr">
        <is>
          <t>图1-详情页</t>
        </is>
      </c>
      <c r="H2" s="2" t="inlineStr">
        <is>
          <t>卡尾号1731 | 持有349天 | 净值2.2921(08-05) | 成本1.9404 | 份额1610.35</t>
        </is>
      </c>
    </row>
    <row r="3">
      <c r="A3" s="2" t="inlineStr">
        <is>
          <t>022914</t>
        </is>
      </c>
      <c r="B3" s="2" t="inlineStr">
        <is>
          <t>易方达沪深300精选增强Y</t>
        </is>
      </c>
      <c r="C3" s="3" t="n">
        <v>4839.9</v>
      </c>
      <c r="D3" s="4" t="n">
        <v>239.9</v>
      </c>
      <c r="E3" s="5" t="n">
        <v>0.0545</v>
      </c>
      <c r="F3" s="4" t="n">
        <v>14.64</v>
      </c>
      <c r="G3" s="7" t="inlineStr">
        <is>
          <t>图2-详情页</t>
        </is>
      </c>
      <c r="H3" s="2" t="inlineStr">
        <is>
          <t>卡尾号1914 | 持有98天 | 净值1.2990(08-06) | 成本1.2318 | 份额3571.90 | ⚠️验算偏差4.1%</t>
        </is>
      </c>
    </row>
    <row r="4">
      <c r="A4" s="2" t="inlineStr">
        <is>
          <t>10008</t>
        </is>
      </c>
      <c r="B4" s="2" t="inlineStr">
        <is>
          <t>易方达稳健收益债券B</t>
        </is>
      </c>
      <c r="C4" s="3" t="n">
        <v>6572.47</v>
      </c>
      <c r="D4" s="4" t="n">
        <v>73.41</v>
      </c>
      <c r="E4" s="5" t="n">
        <v>0.0113</v>
      </c>
      <c r="F4" s="6" t="n">
        <v>-11.56</v>
      </c>
      <c r="G4" s="7" t="inlineStr">
        <is>
          <t>图3-持仓列表</t>
        </is>
      </c>
      <c r="H4" s="2" t="inlineStr">
        <is>
          <t>债券型 | 待转现金储备</t>
        </is>
      </c>
    </row>
    <row r="5">
      <c r="A5" s="2" t="inlineStr">
        <is>
          <t>000147</t>
        </is>
      </c>
      <c r="B5" s="2" t="inlineStr">
        <is>
          <t>易方达高等级信用债A</t>
        </is>
      </c>
      <c r="C5" s="3" t="n">
        <v>6446.33</v>
      </c>
      <c r="D5" s="4" t="n">
        <v>59.76</v>
      </c>
      <c r="E5" s="5" t="n">
        <v>0.0094</v>
      </c>
      <c r="F5" s="4" t="n">
        <v>0</v>
      </c>
      <c r="G5" s="7" t="inlineStr">
        <is>
          <t>图3-持仓列表</t>
        </is>
      </c>
      <c r="H5" s="2" t="inlineStr">
        <is>
          <t>债券型 | 待转现金储备</t>
        </is>
      </c>
    </row>
    <row r="6">
      <c r="A6" s="2" t="inlineStr">
        <is>
          <t>002656</t>
        </is>
      </c>
      <c r="B6" s="2" t="inlineStr">
        <is>
          <t>南方创业板ETF联接A</t>
        </is>
      </c>
      <c r="C6" s="3" t="n">
        <v>5880.72</v>
      </c>
      <c r="D6" s="4" t="n">
        <v>1159.39</v>
      </c>
      <c r="E6" s="5" t="n">
        <v>0.2456</v>
      </c>
      <c r="F6" s="6" t="n">
        <v>-31.28</v>
      </c>
      <c r="G6" s="7" t="inlineStr">
        <is>
          <t>图3-持仓列表</t>
        </is>
      </c>
      <c r="H6" s="2" t="inlineStr">
        <is>
          <t>股票型 | →159915创业板ETF</t>
        </is>
      </c>
    </row>
    <row r="7">
      <c r="A7" s="2" t="inlineStr">
        <is>
          <t>013308</t>
        </is>
      </c>
      <c r="B7" s="2" t="inlineStr">
        <is>
          <t>易方达恒生科技ETF联接(QDII)A</t>
        </is>
      </c>
      <c r="C7" s="3" t="n">
        <v>4217.5</v>
      </c>
      <c r="D7" s="4" t="n">
        <v>164.8</v>
      </c>
      <c r="E7" s="5" t="n">
        <v>0.0407</v>
      </c>
      <c r="F7" s="6" t="n">
        <v>-93.08</v>
      </c>
      <c r="G7" s="7" t="inlineStr">
        <is>
          <t>图3-持仓列表</t>
        </is>
      </c>
      <c r="H7" s="2" t="inlineStr">
        <is>
          <t>QDII | →513180恒生科技ETF</t>
        </is>
      </c>
    </row>
    <row r="8">
      <c r="A8" s="2" t="inlineStr">
        <is>
          <t>002610</t>
        </is>
      </c>
      <c r="B8" s="2" t="inlineStr">
        <is>
          <t>博时黄金ETF联接A</t>
        </is>
      </c>
      <c r="C8" s="3" t="n">
        <v>4125.26</v>
      </c>
      <c r="D8" s="6" t="n">
        <v>-72.81</v>
      </c>
      <c r="E8" s="8" t="n">
        <v>-0.0173</v>
      </c>
      <c r="F8" s="4" t="n">
        <v>94.34</v>
      </c>
      <c r="G8" s="7" t="inlineStr">
        <is>
          <t>图3-持仓列表</t>
        </is>
      </c>
      <c r="H8" s="2" t="inlineStr">
        <is>
          <t>商品型 | →518880黄金ETF</t>
        </is>
      </c>
    </row>
    <row r="9">
      <c r="B9" s="9" t="inlineStr">
        <is>
          <t>合计</t>
        </is>
      </c>
      <c r="C9" s="10">
        <f>SUM(C2:C8)</f>
        <v/>
      </c>
      <c r="D9" s="10">
        <f>SUM(D2:D8)</f>
        <v/>
      </c>
      <c r="F9" s="10">
        <f>SUM(F2:F8)</f>
        <v/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11" t="inlineStr">
        <is>
          <t>总持仓市值</t>
        </is>
      </c>
      <c r="B1" s="12" t="inlineStr">
        <is>
          <t>¥35,773.26</t>
        </is>
      </c>
    </row>
    <row r="2">
      <c r="A2" s="11" t="inlineStr">
        <is>
          <t>总投入成本</t>
        </is>
      </c>
      <c r="B2" s="12" t="inlineStr">
        <is>
          <t>¥33,582.41</t>
        </is>
      </c>
    </row>
    <row r="3">
      <c r="A3" s="11" t="inlineStr">
        <is>
          <t>总累计收益</t>
        </is>
      </c>
      <c r="B3" s="13" t="inlineStr">
        <is>
          <t>+¥2,190.85</t>
        </is>
      </c>
    </row>
    <row r="4">
      <c r="A4" s="11" t="inlineStr">
        <is>
          <t>总收益率</t>
        </is>
      </c>
      <c r="B4" s="13" t="inlineStr">
        <is>
          <t>6.52%</t>
        </is>
      </c>
    </row>
    <row r="5">
      <c r="A5" s="11" t="inlineStr">
        <is>
          <t>昨日总收益</t>
        </is>
      </c>
      <c r="B5" s="14" t="inlineStr">
        <is>
          <t>-¥58.18</t>
        </is>
      </c>
    </row>
    <row r="6">
      <c r="A6" s="11" t="inlineStr">
        <is>
          <t>持仓基金数</t>
        </is>
      </c>
      <c r="B6" s="12" t="inlineStr">
        <is>
          <t>7 只</t>
        </is>
      </c>
    </row>
    <row r="7">
      <c r="A7" s="11" t="inlineStr">
        <is>
          <t>来源图片数</t>
        </is>
      </c>
      <c r="B7" s="12" t="inlineStr">
        <is>
          <t>3 张</t>
        </is>
      </c>
    </row>
    <row r="8">
      <c r="A8" s="11" t="inlineStr">
        <is>
          <t>数据日期</t>
        </is>
      </c>
      <c r="B8" s="12" t="inlineStr">
        <is>
          <t>2026-08-07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30" customWidth="1" min="4" max="4"/>
  </cols>
  <sheetData>
    <row r="1">
      <c r="A1" s="15" t="inlineStr">
        <is>
          <t>文件名</t>
        </is>
      </c>
      <c r="B1" s="15" t="inlineStr">
        <is>
          <t>状态</t>
        </is>
      </c>
      <c r="C1" s="15" t="inlineStr">
        <is>
          <t>识别基金数</t>
        </is>
      </c>
      <c r="D1" s="15" t="inlineStr">
        <is>
          <t>备注</t>
        </is>
      </c>
    </row>
    <row r="2">
      <c r="A2" s="16" t="inlineStr">
        <is>
          <t>1.png (招商银行-南方纳斯达克100详情页)</t>
        </is>
      </c>
      <c r="B2" s="16" t="inlineStr">
        <is>
          <t>已读取</t>
        </is>
      </c>
      <c r="C2" s="16" t="n">
        <v>1</v>
      </c>
      <c r="D2" s="16" t="inlineStr">
        <is>
          <t>OCR清晰，基金代码通过搜索引擎查证确认</t>
        </is>
      </c>
    </row>
    <row r="3">
      <c r="A3" s="16" t="inlineStr">
        <is>
          <t>2.png (招商银行-易方达沪深300增强详情页)</t>
        </is>
      </c>
      <c r="B3" s="16" t="inlineStr">
        <is>
          <t>已读取</t>
        </is>
      </c>
      <c r="C3" s="16" t="n">
        <v>1</v>
      </c>
      <c r="D3" s="16" t="inlineStr">
        <is>
          <t>OCR清晰，金额验算偏差4.1%⚠️</t>
        </is>
      </c>
    </row>
    <row r="4">
      <c r="A4" s="16" t="inlineStr">
        <is>
          <t>3.png (招商银行-基金持仓列表)</t>
        </is>
      </c>
      <c r="B4" s="16" t="inlineStr">
        <is>
          <t>已读取</t>
        </is>
      </c>
      <c r="C4" s="16" t="n">
        <v>5</v>
      </c>
      <c r="D4" s="16" t="inlineStr">
        <is>
          <t>OCR清晰，5只基金全部识别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2026-08-07T01:47:42Z</dcterms:created>
  <dcterms:modified xsi:type="dcterms:W3CDTF">2026-08-07T01:47:42Z</dcterms:modified>
</cp:coreProperties>
</file>